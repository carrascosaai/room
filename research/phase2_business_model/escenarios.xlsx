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B2C_usuarios" sheetId="2" state="visible" r:id="rId2"/>
    <sheet xmlns:r="http://schemas.openxmlformats.org/officeDocument/2006/relationships" name="B2B_clientes" sheetId="3" state="visible" r:id="rId3"/>
    <sheet xmlns:r="http://schemas.openxmlformats.org/officeDocument/2006/relationships" name="Py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5" customWidth="1" min="2" max="2"/>
    <col width="60" customWidth="1" min="8" max="8"/>
  </cols>
  <sheetData>
    <row r="1">
      <c r="A1" s="1" t="inlineStr">
        <is>
          <t>clave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conservador</t>
        </is>
      </c>
      <c r="E1" s="1" t="inlineStr">
        <is>
          <t>base</t>
        </is>
      </c>
      <c r="F1" s="1" t="inlineStr">
        <is>
          <t>optimista</t>
        </is>
      </c>
      <c r="G1" s="1" t="inlineStr">
        <is>
          <t>tipo</t>
        </is>
      </c>
      <c r="H1" s="1" t="inlineStr">
        <is>
          <t>fuente</t>
        </is>
      </c>
    </row>
    <row r="2">
      <c r="A2" t="inlineStr">
        <is>
          <t>act</t>
        </is>
      </c>
      <c r="B2" t="inlineStr">
        <is>
          <t>Usuarios activos sobre registrados</t>
        </is>
      </c>
      <c r="C2" t="inlineStr">
        <is>
          <t>fracción</t>
        </is>
      </c>
      <c r="D2" s="2" t="n">
        <v>0.3</v>
      </c>
      <c r="E2" s="2" t="n">
        <v>0.4</v>
      </c>
      <c r="F2" s="2" t="n">
        <v>0.6</v>
      </c>
      <c r="G2" t="inlineStr">
        <is>
          <t>supuesto</t>
        </is>
      </c>
      <c r="H2" t="inlineStr">
        <is>
          <t>—</t>
        </is>
      </c>
    </row>
    <row r="3">
      <c r="A3" t="inlineStr">
        <is>
          <t>conv</t>
        </is>
      </c>
      <c r="B3" t="inlineStr">
        <is>
          <t>Conversión de activos a pago (A/F)</t>
        </is>
      </c>
      <c r="C3" t="inlineStr">
        <is>
          <t>fracción</t>
        </is>
      </c>
      <c r="D3" s="2" t="n">
        <v>0.01</v>
      </c>
      <c r="E3" s="2" t="n">
        <v>0.03</v>
      </c>
      <c r="F3" s="2" t="n">
        <v>0.05</v>
      </c>
      <c r="G3" t="inlineStr">
        <is>
          <t>supuesto</t>
        </is>
      </c>
      <c r="H3" t="inlineStr">
        <is>
          <t>sin datos de competidores; medir con phase2_customers/07</t>
        </is>
      </c>
    </row>
    <row r="4">
      <c r="A4" t="inlineStr">
        <is>
          <t>precio_a</t>
        </is>
      </c>
      <c r="B4" t="inlineStr">
        <is>
          <t>Precio suscripción estudiante (A)</t>
        </is>
      </c>
      <c r="C4" t="inlineStr">
        <is>
          <t>€/mes</t>
        </is>
      </c>
      <c r="D4" s="2" t="n">
        <v>3</v>
      </c>
      <c r="E4" s="2" t="n">
        <v>5</v>
      </c>
      <c r="F4" s="2" t="n">
        <v>9</v>
      </c>
      <c r="G4" t="inlineStr">
        <is>
          <t>hipótesis a probar</t>
        </is>
      </c>
      <c r="H4" t="inlineStr">
        <is>
          <t>phase2_customers/07 (0/3/5/9 €)</t>
        </is>
      </c>
    </row>
    <row r="5">
      <c r="A5" t="inlineStr">
        <is>
          <t>meses_a</t>
        </is>
      </c>
      <c r="B5" t="inlineStr">
        <is>
          <t>Meses pagados por año (estacionalidad)</t>
        </is>
      </c>
      <c r="C5" t="inlineStr">
        <is>
          <t>meses</t>
        </is>
      </c>
      <c r="D5" s="2" t="n">
        <v>2</v>
      </c>
      <c r="E5" s="2" t="n">
        <v>3</v>
      </c>
      <c r="F5" s="2" t="n">
        <v>5</v>
      </c>
      <c r="G5" t="inlineStr">
        <is>
          <t>supuesto</t>
        </is>
      </c>
      <c r="H5" t="inlineStr">
        <is>
          <t>Simplify vende semanal/trimestral (fase 1, [T])</t>
        </is>
      </c>
    </row>
    <row r="6">
      <c r="A6" t="inlineStr">
        <is>
          <t>precio_f</t>
        </is>
      </c>
      <c r="B6" t="inlineStr">
        <is>
          <t>Precio tracker (F)</t>
        </is>
      </c>
      <c r="C6" t="inlineStr">
        <is>
          <t>€/mes</t>
        </is>
      </c>
      <c r="D6" s="2" t="n">
        <v>3</v>
      </c>
      <c r="E6" s="2" t="n">
        <v>4</v>
      </c>
      <c r="F6" s="2" t="n">
        <v>6</v>
      </c>
      <c r="G6" t="inlineStr">
        <is>
          <t>supuesto</t>
        </is>
      </c>
      <c r="H6" t="inlineStr">
        <is>
          <t>JobFill 3,99 $; GoFillr 5,99 $; Huntr 40 $ (fase 1)</t>
        </is>
      </c>
    </row>
    <row r="7">
      <c r="A7" t="inlineStr">
        <is>
          <t>conv_f</t>
        </is>
      </c>
      <c r="B7" t="inlineStr">
        <is>
          <t>Conversión a tracker de pago (F)</t>
        </is>
      </c>
      <c r="C7" t="inlineStr">
        <is>
          <t>fracción</t>
        </is>
      </c>
      <c r="D7" s="2" t="n">
        <v>0.005</v>
      </c>
      <c r="E7" s="2" t="n">
        <v>0.01</v>
      </c>
      <c r="F7" s="2" t="n">
        <v>0.02</v>
      </c>
      <c r="G7" t="inlineStr">
        <is>
          <t>supuesto</t>
        </is>
      </c>
      <c r="H7" t="inlineStr">
        <is>
          <t>—</t>
        </is>
      </c>
    </row>
    <row r="8">
      <c r="A8" t="inlineStr">
        <is>
          <t>precio_oferta</t>
        </is>
      </c>
      <c r="B8" t="inlineStr">
        <is>
          <t>Precio publicación por oferta (B)</t>
        </is>
      </c>
      <c r="C8" t="inlineStr">
        <is>
          <t>€/oferta</t>
        </is>
      </c>
      <c r="D8" s="2" t="n">
        <v>20</v>
      </c>
      <c r="E8" s="2" t="n">
        <v>30</v>
      </c>
      <c r="F8" s="2" t="n">
        <v>49</v>
      </c>
      <c r="G8" t="inlineStr">
        <is>
          <t>dato de mercado</t>
        </is>
      </c>
      <c r="H8" t="inlineStr">
        <is>
          <t>EUInternships 20–39 €; iAgora desde 23 €; InfoJobs 49 € 1.ª oferta [T]</t>
        </is>
      </c>
    </row>
    <row r="9">
      <c r="A9" t="inlineStr">
        <is>
          <t>ofertas_cliente</t>
        </is>
      </c>
      <c r="B9" t="inlineStr">
        <is>
          <t>Ofertas publicadas por empresa y mes (B)</t>
        </is>
      </c>
      <c r="C9" t="inlineStr">
        <is>
          <t>nº/mes</t>
        </is>
      </c>
      <c r="D9" s="2" t="n">
        <v>1</v>
      </c>
      <c r="E9" s="2" t="n">
        <v>1.5</v>
      </c>
      <c r="F9" s="2" t="n">
        <v>3</v>
      </c>
      <c r="G9" t="inlineStr">
        <is>
          <t>supuesto</t>
        </is>
      </c>
      <c r="H9" t="inlineStr">
        <is>
          <t>—</t>
        </is>
      </c>
    </row>
    <row r="10">
      <c r="A10" t="inlineStr">
        <is>
          <t>fee_colocacion</t>
        </is>
      </c>
      <c r="B10" t="inlineStr">
        <is>
          <t>Honorario por incorporación en prácticas o junior (C)</t>
        </is>
      </c>
      <c r="C10" t="inlineStr">
        <is>
          <t>€/incorporación</t>
        </is>
      </c>
      <c r="D10" s="2" t="n">
        <v>300</v>
      </c>
      <c r="E10" s="2" t="n">
        <v>800</v>
      </c>
      <c r="F10" s="2" t="n">
        <v>1500</v>
      </c>
      <c r="G10" t="inlineStr">
        <is>
          <t>supuesto acotado</t>
        </is>
      </c>
      <c r="H10" t="inlineStr">
        <is>
          <t>headhunting 15–33 % salario [T]; junior ≈26–32 k€ [T]; Talentoteca 12 % de la beca</t>
        </is>
      </c>
    </row>
    <row r="11">
      <c r="A11" t="inlineStr">
        <is>
          <t>coloc_cliente_ano</t>
        </is>
      </c>
      <c r="B11" t="inlineStr">
        <is>
          <t>Incorporaciones por empresa cliente y año (C)</t>
        </is>
      </c>
      <c r="C11" t="inlineStr">
        <is>
          <t>nº/año</t>
        </is>
      </c>
      <c r="D11" s="2" t="n">
        <v>1</v>
      </c>
      <c r="E11" s="2" t="n">
        <v>2</v>
      </c>
      <c r="F11" s="2" t="n">
        <v>3</v>
      </c>
      <c r="G11" t="inlineStr">
        <is>
          <t>supuesto</t>
        </is>
      </c>
      <c r="H11" t="inlineStr">
        <is>
          <t>—</t>
        </is>
      </c>
    </row>
    <row r="12">
      <c r="A12" t="inlineStr">
        <is>
          <t>precio_destacada</t>
        </is>
      </c>
      <c r="B12" t="inlineStr">
        <is>
          <t>Oferta patrocinada/destacada (D)</t>
        </is>
      </c>
      <c r="C12" t="inlineStr">
        <is>
          <t>€/oferta/mes</t>
        </is>
      </c>
      <c r="D12" s="2" t="n">
        <v>30</v>
      </c>
      <c r="E12" s="2" t="n">
        <v>60</v>
      </c>
      <c r="F12" s="2" t="n">
        <v>100</v>
      </c>
      <c r="G12" t="inlineStr">
        <is>
          <t>supuesto acotado</t>
        </is>
      </c>
      <c r="H12" t="inlineStr">
        <is>
          <t>LinkedIn ~10 $/día mínimo; StepStone Pro 1.449 €/30 días [T]</t>
        </is>
      </c>
    </row>
    <row r="13">
      <c r="A13" t="inlineStr">
        <is>
          <t>destacadas_cliente</t>
        </is>
      </c>
      <c r="B13" t="inlineStr">
        <is>
          <t>Destacadas por empresa y mes (D)</t>
        </is>
      </c>
      <c r="C13" t="inlineStr">
        <is>
          <t>nº/mes</t>
        </is>
      </c>
      <c r="D13" s="2" t="n">
        <v>1</v>
      </c>
      <c r="E13" s="2" t="n">
        <v>1</v>
      </c>
      <c r="F13" s="2" t="n">
        <v>2</v>
      </c>
      <c r="G13" t="inlineStr">
        <is>
          <t>supuesto</t>
        </is>
      </c>
      <c r="H13" t="inlineStr">
        <is>
          <t>—</t>
        </is>
      </c>
    </row>
    <row r="14">
      <c r="A14" t="inlineStr">
        <is>
          <t>licencia_uni</t>
        </is>
      </c>
      <c r="B14" t="inlineStr">
        <is>
          <t>Licencia anual universidad o escuela (E)</t>
        </is>
      </c>
      <c r="C14" t="inlineStr">
        <is>
          <t>€/año</t>
        </is>
      </c>
      <c r="D14" s="2" t="n">
        <v>500</v>
      </c>
      <c r="E14" s="2" t="n">
        <v>1500</v>
      </c>
      <c r="F14" s="2" t="n">
        <v>4000</v>
      </c>
      <c r="G14" t="inlineStr">
        <is>
          <t>supuesto</t>
        </is>
      </c>
      <c r="H14" t="inlineStr">
        <is>
          <t>JobTeaser núcleo gratis para centros [C]; Symplicity £12.050/licencia (G-Cloud) [T]</t>
        </is>
      </c>
    </row>
    <row r="15">
      <c r="A15" t="inlineStr">
        <is>
          <t>herr_fijas</t>
        </is>
      </c>
      <c r="B15" t="inlineStr">
        <is>
          <t>Herramientas fijas (dominio, hosting, BD, email, analítica)</t>
        </is>
      </c>
      <c r="C15" t="inlineStr">
        <is>
          <t>€/mes</t>
        </is>
      </c>
      <c r="D15" s="2" t="n">
        <v>5</v>
      </c>
      <c r="E15" s="2" t="n">
        <v>30</v>
      </c>
      <c r="F15" s="2" t="n">
        <v>80</v>
      </c>
      <c r="G15" t="inlineStr">
        <is>
          <t>estimación</t>
        </is>
      </c>
      <c r="H15" t="inlineStr">
        <is>
          <t>Supabase Pro 25 $; Resend Pro 20 $; dominio ~1,5 €/mes [T]</t>
        </is>
      </c>
    </row>
    <row r="16">
      <c r="A16" t="inlineStr">
        <is>
          <t>gestoria</t>
        </is>
      </c>
      <c r="B16" t="inlineStr">
        <is>
          <t>Gestoría</t>
        </is>
      </c>
      <c r="C16" t="inlineStr">
        <is>
          <t>€/mes</t>
        </is>
      </c>
      <c r="D16" s="2" t="n">
        <v>0</v>
      </c>
      <c r="E16" s="2" t="n">
        <v>50</v>
      </c>
      <c r="F16" s="2" t="n">
        <v>80</v>
      </c>
      <c r="G16" t="inlineStr">
        <is>
          <t>supuesto</t>
        </is>
      </c>
      <c r="H16" t="inlineStr">
        <is>
          <t>—</t>
        </is>
      </c>
    </row>
    <row r="17">
      <c r="A17" t="inlineStr">
        <is>
          <t>cuota_autonomo</t>
        </is>
      </c>
      <c r="B17" t="inlineStr">
        <is>
          <t>Cuota de autónomos</t>
        </is>
      </c>
      <c r="C17" t="inlineStr">
        <is>
          <t>€/mes</t>
        </is>
      </c>
      <c r="D17" s="2" t="n">
        <v>88.64</v>
      </c>
      <c r="E17" s="2" t="n">
        <v>88.64</v>
      </c>
      <c r="F17" s="2" t="n">
        <v>250</v>
      </c>
      <c r="G17" t="inlineStr">
        <is>
          <t>dato secundario</t>
        </is>
      </c>
      <c r="H17" t="inlineStr">
        <is>
          <t>tarifa plana 80 € + MEI ≈ 88,64 € el 1.er año; tramos ~206–623 € [T]</t>
        </is>
      </c>
    </row>
    <row r="18">
      <c r="A18" t="inlineStr">
        <is>
          <t>publicidad</t>
        </is>
      </c>
      <c r="B18" t="inlineStr">
        <is>
          <t>Publicidad</t>
        </is>
      </c>
      <c r="C18" t="inlineStr">
        <is>
          <t>€/mes</t>
        </is>
      </c>
      <c r="D18" s="2" t="n">
        <v>0</v>
      </c>
      <c r="E18" s="2" t="n">
        <v>100</v>
      </c>
      <c r="F18" s="2" t="n">
        <v>400</v>
      </c>
      <c r="G18" t="inlineStr">
        <is>
          <t>decisión</t>
        </is>
      </c>
      <c r="H18" t="inlineStr">
        <is>
          <t>phase2_growth</t>
        </is>
      </c>
    </row>
    <row r="19">
      <c r="A19" t="inlineStr">
        <is>
          <t>comision_pago</t>
        </is>
      </c>
      <c r="B19" t="inlineStr">
        <is>
          <t>Comisión de pasarela sobre ingresos</t>
        </is>
      </c>
      <c r="C19" t="inlineStr">
        <is>
          <t>fracción</t>
        </is>
      </c>
      <c r="D19" s="2" t="n">
        <v>0.03</v>
      </c>
      <c r="E19" s="2" t="n">
        <v>0.03</v>
      </c>
      <c r="F19" s="2" t="n">
        <v>0.03</v>
      </c>
      <c r="G19" t="inlineStr">
        <is>
          <t>supuesto</t>
        </is>
      </c>
      <c r="H19" t="inlineStr">
        <is>
          <t>orden de magnitud de pasarelas con tarjeta; verificar</t>
        </is>
      </c>
    </row>
    <row r="20">
      <c r="A20" t="inlineStr">
        <is>
          <t>horas_mant</t>
        </is>
      </c>
      <c r="B20" t="inlineStr">
        <is>
          <t>Horas del fundador al mes en mantener datos (30 empresas)</t>
        </is>
      </c>
      <c r="C20" t="inlineStr">
        <is>
          <t>h/mes</t>
        </is>
      </c>
      <c r="D20" s="2" t="n">
        <v>59</v>
      </c>
      <c r="E20" s="2" t="n">
        <v>42</v>
      </c>
      <c r="F20" s="2" t="n">
        <v>27</v>
      </c>
      <c r="G20" t="inlineStr">
        <is>
          <t>estimación</t>
        </is>
      </c>
      <c r="H20" t="inlineStr">
        <is>
          <t>phase2_technical/data/coste_resultados.csv</t>
        </is>
      </c>
    </row>
    <row r="21">
      <c r="A21" t="inlineStr">
        <is>
          <t>horas_comercial</t>
        </is>
      </c>
      <c r="B21" t="inlineStr">
        <is>
          <t>Horas del fundador al mes en ventas y soporte</t>
        </is>
      </c>
      <c r="C21" t="inlineStr">
        <is>
          <t>h/mes</t>
        </is>
      </c>
      <c r="D21" s="2" t="n">
        <v>40</v>
      </c>
      <c r="E21" s="2" t="n">
        <v>40</v>
      </c>
      <c r="F21" s="2" t="n">
        <v>40</v>
      </c>
      <c r="G21" t="inlineStr">
        <is>
          <t>supuesto</t>
        </is>
      </c>
      <c r="H21" t="inlineStr">
        <is>
          <t>—</t>
        </is>
      </c>
    </row>
    <row r="22">
      <c r="A22" t="inlineStr">
        <is>
          <t>irpf</t>
        </is>
      </c>
      <c r="B22" t="inlineStr">
        <is>
          <t>Tipo efectivo IRPF sobre el beneficio (autónomo)</t>
        </is>
      </c>
      <c r="C22" t="inlineStr">
        <is>
          <t>fracción</t>
        </is>
      </c>
      <c r="D22" s="2" t="n">
        <v>0.1</v>
      </c>
      <c r="E22" s="2" t="n">
        <v>0.15</v>
      </c>
      <c r="F22" s="2" t="n">
        <v>0.2</v>
      </c>
      <c r="G22" t="inlineStr">
        <is>
          <t>supuesto simplificado</t>
        </is>
      </c>
      <c r="H22" t="inlineStr">
        <is>
          <t>no es asesoramiento fiscal</t>
        </is>
      </c>
    </row>
    <row r="23">
      <c r="A23" t="inlineStr">
        <is>
          <t>clientes_b</t>
        </is>
      </c>
      <c r="B23" t="inlineStr">
        <is>
          <t>Empresas cliente (B) en el escenario de PyG</t>
        </is>
      </c>
      <c r="C23" t="inlineStr">
        <is>
          <t>nº</t>
        </is>
      </c>
      <c r="D23" s="2" t="n">
        <v>3</v>
      </c>
      <c r="E23" s="2" t="n">
        <v>10</v>
      </c>
      <c r="F23" s="2" t="n">
        <v>20</v>
      </c>
      <c r="G23" t="inlineStr">
        <is>
          <t>supuesto</t>
        </is>
      </c>
      <c r="H23" t="inlineStr">
        <is>
          <t>—</t>
        </is>
      </c>
    </row>
    <row r="24">
      <c r="A24" t="inlineStr">
        <is>
          <t>clientes_d</t>
        </is>
      </c>
      <c r="B24" t="inlineStr">
        <is>
          <t>Empresas cliente (D) en el escenario de PyG</t>
        </is>
      </c>
      <c r="C24" t="inlineStr">
        <is>
          <t>nº</t>
        </is>
      </c>
      <c r="D24" s="2" t="n">
        <v>2</v>
      </c>
      <c r="E24" s="2" t="n">
        <v>6</v>
      </c>
      <c r="F24" s="2" t="n">
        <v>10</v>
      </c>
      <c r="G24" t="inlineStr">
        <is>
          <t>supuesto</t>
        </is>
      </c>
      <c r="H24" t="inlineStr">
        <is>
          <t>—</t>
        </is>
      </c>
    </row>
    <row r="25">
      <c r="A25" t="inlineStr">
        <is>
          <t>clientes_c</t>
        </is>
      </c>
      <c r="B25" t="inlineStr">
        <is>
          <t>Empresas cliente (C) en el escenario de PyG</t>
        </is>
      </c>
      <c r="C25" t="inlineStr">
        <is>
          <t>nº</t>
        </is>
      </c>
      <c r="D25" s="2" t="n">
        <v>1</v>
      </c>
      <c r="E25" s="2" t="n">
        <v>4</v>
      </c>
      <c r="F25" s="2" t="n">
        <v>6</v>
      </c>
      <c r="G25" t="inlineStr">
        <is>
          <t>supuesto</t>
        </is>
      </c>
      <c r="H25" t="inlineStr">
        <is>
          <t>—</t>
        </is>
      </c>
    </row>
    <row r="26">
      <c r="A26" t="inlineStr">
        <is>
          <t>unis_e</t>
        </is>
      </c>
      <c r="B26" t="inlineStr">
        <is>
          <t>Universidades o escuelas cliente (E) en PyG</t>
        </is>
      </c>
      <c r="C26" t="inlineStr">
        <is>
          <t>nº</t>
        </is>
      </c>
      <c r="D26" s="2" t="n">
        <v>0</v>
      </c>
      <c r="E26" s="2" t="n">
        <v>1</v>
      </c>
      <c r="F26" s="2" t="n">
        <v>2</v>
      </c>
      <c r="G26" t="inlineStr">
        <is>
          <t>supuesto</t>
        </is>
      </c>
      <c r="H26" t="inlineStr">
        <is>
          <t>—</t>
        </is>
      </c>
    </row>
    <row r="27">
      <c r="A27" t="inlineStr">
        <is>
          <t>usuarios_pyg</t>
        </is>
      </c>
      <c r="B27" t="inlineStr">
        <is>
          <t>Usuarios registrados en el escenario de PyG</t>
        </is>
      </c>
      <c r="C27" t="inlineStr">
        <is>
          <t>nº</t>
        </is>
      </c>
      <c r="D27" s="2" t="n">
        <v>300</v>
      </c>
      <c r="E27" s="2" t="n">
        <v>1500</v>
      </c>
      <c r="F27" s="2" t="n">
        <v>6000</v>
      </c>
      <c r="G27" t="inlineStr">
        <is>
          <t>supuesto</t>
        </is>
      </c>
      <c r="H27" t="inlineStr">
        <is>
          <t>—</t>
        </is>
      </c>
    </row>
    <row r="29">
      <c r="A29" t="inlineStr">
        <is>
          <t>Las celdas amarillas son editables. Las demás hojas se recalculan con fórmulas.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Ingresos de estudiantes (A: suscripción; F: tracker) según usuarios registrados</t>
        </is>
      </c>
    </row>
    <row r="2">
      <c r="A2" t="inlineStr">
        <is>
          <t>usuarios</t>
        </is>
      </c>
      <c r="B2" t="inlineStr">
        <is>
          <t>escenario</t>
        </is>
      </c>
      <c r="C2" t="inlineStr">
        <is>
          <t>MRR en temporada A (€)</t>
        </is>
      </c>
      <c r="D2" t="inlineStr">
        <is>
          <t>Ingresos anuales A (€)</t>
        </is>
      </c>
      <c r="E2" t="inlineStr">
        <is>
          <t>Ingresos anuales F (€)</t>
        </is>
      </c>
    </row>
    <row r="3">
      <c r="A3" t="n">
        <v>100</v>
      </c>
      <c r="B3" t="inlineStr">
        <is>
          <t>conservador</t>
        </is>
      </c>
      <c r="C3">
        <f>A3*Supuestos!$D$2*Supuestos!$D$3*Supuestos!$D$4</f>
        <v/>
      </c>
      <c r="D3">
        <f>C3*Supuestos!$D$5</f>
        <v/>
      </c>
      <c r="E3">
        <f>A3*Supuestos!$D$2*Supuestos!$D$7*Supuestos!$D$6*12</f>
        <v/>
      </c>
    </row>
    <row r="4">
      <c r="A4" t="n">
        <v>100</v>
      </c>
      <c r="B4" t="inlineStr">
        <is>
          <t>base</t>
        </is>
      </c>
      <c r="C4">
        <f>A4*Supuestos!$E$2*Supuestos!$E$3*Supuestos!$E$4</f>
        <v/>
      </c>
      <c r="D4">
        <f>C4*Supuestos!$E$5</f>
        <v/>
      </c>
      <c r="E4">
        <f>A4*Supuestos!$E$2*Supuestos!$E$7*Supuestos!$E$6*12</f>
        <v/>
      </c>
    </row>
    <row r="5">
      <c r="A5" t="n">
        <v>100</v>
      </c>
      <c r="B5" t="inlineStr">
        <is>
          <t>optimista</t>
        </is>
      </c>
      <c r="C5">
        <f>A5*Supuestos!$F$2*Supuestos!$F$3*Supuestos!$F$4</f>
        <v/>
      </c>
      <c r="D5">
        <f>C5*Supuestos!$F$5</f>
        <v/>
      </c>
      <c r="E5">
        <f>A5*Supuestos!$F$2*Supuestos!$F$7*Supuestos!$F$6*12</f>
        <v/>
      </c>
    </row>
    <row r="6">
      <c r="A6" t="n">
        <v>1000</v>
      </c>
      <c r="B6" t="inlineStr">
        <is>
          <t>conservador</t>
        </is>
      </c>
      <c r="C6">
        <f>A6*Supuestos!$D$2*Supuestos!$D$3*Supuestos!$D$4</f>
        <v/>
      </c>
      <c r="D6">
        <f>C6*Supuestos!$D$5</f>
        <v/>
      </c>
      <c r="E6">
        <f>A6*Supuestos!$D$2*Supuestos!$D$7*Supuestos!$D$6*12</f>
        <v/>
      </c>
    </row>
    <row r="7">
      <c r="A7" t="n">
        <v>1000</v>
      </c>
      <c r="B7" t="inlineStr">
        <is>
          <t>base</t>
        </is>
      </c>
      <c r="C7">
        <f>A7*Supuestos!$E$2*Supuestos!$E$3*Supuestos!$E$4</f>
        <v/>
      </c>
      <c r="D7">
        <f>C7*Supuestos!$E$5</f>
        <v/>
      </c>
      <c r="E7">
        <f>A7*Supuestos!$E$2*Supuestos!$E$7*Supuestos!$E$6*12</f>
        <v/>
      </c>
    </row>
    <row r="8">
      <c r="A8" t="n">
        <v>1000</v>
      </c>
      <c r="B8" t="inlineStr">
        <is>
          <t>optimista</t>
        </is>
      </c>
      <c r="C8">
        <f>A8*Supuestos!$F$2*Supuestos!$F$3*Supuestos!$F$4</f>
        <v/>
      </c>
      <c r="D8">
        <f>C8*Supuestos!$F$5</f>
        <v/>
      </c>
      <c r="E8">
        <f>A8*Supuestos!$F$2*Supuestos!$F$7*Supuestos!$F$6*12</f>
        <v/>
      </c>
    </row>
    <row r="9">
      <c r="A9" t="n">
        <v>10000</v>
      </c>
      <c r="B9" t="inlineStr">
        <is>
          <t>conservador</t>
        </is>
      </c>
      <c r="C9">
        <f>A9*Supuestos!$D$2*Supuestos!$D$3*Supuestos!$D$4</f>
        <v/>
      </c>
      <c r="D9">
        <f>C9*Supuestos!$D$5</f>
        <v/>
      </c>
      <c r="E9">
        <f>A9*Supuestos!$D$2*Supuestos!$D$7*Supuestos!$D$6*12</f>
        <v/>
      </c>
    </row>
    <row r="10">
      <c r="A10" t="n">
        <v>10000</v>
      </c>
      <c r="B10" t="inlineStr">
        <is>
          <t>base</t>
        </is>
      </c>
      <c r="C10">
        <f>A10*Supuestos!$E$2*Supuestos!$E$3*Supuestos!$E$4</f>
        <v/>
      </c>
      <c r="D10">
        <f>C10*Supuestos!$E$5</f>
        <v/>
      </c>
      <c r="E10">
        <f>A10*Supuestos!$E$2*Supuestos!$E$7*Supuestos!$E$6*12</f>
        <v/>
      </c>
    </row>
    <row r="11">
      <c r="A11" t="n">
        <v>10000</v>
      </c>
      <c r="B11" t="inlineStr">
        <is>
          <t>optimista</t>
        </is>
      </c>
      <c r="C11">
        <f>A11*Supuestos!$F$2*Supuestos!$F$3*Supuestos!$F$4</f>
        <v/>
      </c>
      <c r="D11">
        <f>C11*Supuestos!$F$5</f>
        <v/>
      </c>
      <c r="E11">
        <f>A11*Supuestos!$F$2*Supuestos!$F$7*Supuestos!$F$6*12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Clientes empresariales necesarios para cada facturación mensual objetivo</t>
        </is>
      </c>
    </row>
    <row r="2">
      <c r="A2" t="inlineStr">
        <is>
          <t>modelo</t>
        </is>
      </c>
      <c r="B2" t="inlineStr">
        <is>
          <t>escenario</t>
        </is>
      </c>
      <c r="C2" t="inlineStr">
        <is>
          <t>ARPA mensual (€)</t>
        </is>
      </c>
      <c r="D2" t="inlineStr">
        <is>
          <t>clientes para 1000 €/mes</t>
        </is>
      </c>
      <c r="E2" t="inlineStr">
        <is>
          <t>clientes para 5000 €/mes</t>
        </is>
      </c>
      <c r="F2" t="inlineStr">
        <is>
          <t>clientes para 10000 €/mes</t>
        </is>
      </c>
    </row>
    <row r="3">
      <c r="A3" t="inlineStr">
        <is>
          <t>B (publicación)</t>
        </is>
      </c>
      <c r="B3" t="inlineStr">
        <is>
          <t>conservador</t>
        </is>
      </c>
      <c r="C3">
        <f>Supuestos!$D$8*Supuestos!$D$9</f>
        <v/>
      </c>
      <c r="D3">
        <f>ROUNDUP(1000/C3,0)</f>
        <v/>
      </c>
      <c r="E3">
        <f>ROUNDUP(5000/C3,0)</f>
        <v/>
      </c>
      <c r="F3">
        <f>ROUNDUP(10000/C3,0)</f>
        <v/>
      </c>
    </row>
    <row r="4">
      <c r="A4" t="inlineStr">
        <is>
          <t>B (publicación)</t>
        </is>
      </c>
      <c r="B4" t="inlineStr">
        <is>
          <t>base</t>
        </is>
      </c>
      <c r="C4">
        <f>Supuestos!$E$8*Supuestos!$E$9</f>
        <v/>
      </c>
      <c r="D4">
        <f>ROUNDUP(1000/C4,0)</f>
        <v/>
      </c>
      <c r="E4">
        <f>ROUNDUP(5000/C4,0)</f>
        <v/>
      </c>
      <c r="F4">
        <f>ROUNDUP(10000/C4,0)</f>
        <v/>
      </c>
    </row>
    <row r="5">
      <c r="A5" t="inlineStr">
        <is>
          <t>B (publicación)</t>
        </is>
      </c>
      <c r="B5" t="inlineStr">
        <is>
          <t>optimista</t>
        </is>
      </c>
      <c r="C5">
        <f>Supuestos!$F$8*Supuestos!$F$9</f>
        <v/>
      </c>
      <c r="D5">
        <f>ROUNDUP(1000/C5,0)</f>
        <v/>
      </c>
      <c r="E5">
        <f>ROUNDUP(5000/C5,0)</f>
        <v/>
      </c>
      <c r="F5">
        <f>ROUNDUP(10000/C5,0)</f>
        <v/>
      </c>
    </row>
    <row r="6">
      <c r="A6" t="inlineStr">
        <is>
          <t>C (captación/colocación)</t>
        </is>
      </c>
      <c r="B6" t="inlineStr">
        <is>
          <t>conservador</t>
        </is>
      </c>
      <c r="C6">
        <f>Supuestos!$D$10*Supuestos!$D$11/12</f>
        <v/>
      </c>
      <c r="D6">
        <f>ROUNDUP(1000/C6,0)</f>
        <v/>
      </c>
      <c r="E6">
        <f>ROUNDUP(5000/C6,0)</f>
        <v/>
      </c>
      <c r="F6">
        <f>ROUNDUP(10000/C6,0)</f>
        <v/>
      </c>
    </row>
    <row r="7">
      <c r="A7" t="inlineStr">
        <is>
          <t>C (captación/colocación)</t>
        </is>
      </c>
      <c r="B7" t="inlineStr">
        <is>
          <t>base</t>
        </is>
      </c>
      <c r="C7">
        <f>Supuestos!$E$10*Supuestos!$E$11/12</f>
        <v/>
      </c>
      <c r="D7">
        <f>ROUNDUP(1000/C7,0)</f>
        <v/>
      </c>
      <c r="E7">
        <f>ROUNDUP(5000/C7,0)</f>
        <v/>
      </c>
      <c r="F7">
        <f>ROUNDUP(10000/C7,0)</f>
        <v/>
      </c>
    </row>
    <row r="8">
      <c r="A8" t="inlineStr">
        <is>
          <t>C (captación/colocación)</t>
        </is>
      </c>
      <c r="B8" t="inlineStr">
        <is>
          <t>optimista</t>
        </is>
      </c>
      <c r="C8">
        <f>Supuestos!$F$10*Supuestos!$F$11/12</f>
        <v/>
      </c>
      <c r="D8">
        <f>ROUNDUP(1000/C8,0)</f>
        <v/>
      </c>
      <c r="E8">
        <f>ROUNDUP(5000/C8,0)</f>
        <v/>
      </c>
      <c r="F8">
        <f>ROUNDUP(10000/C8,0)</f>
        <v/>
      </c>
    </row>
    <row r="9">
      <c r="A9" t="inlineStr">
        <is>
          <t>D (patrocinadas)</t>
        </is>
      </c>
      <c r="B9" t="inlineStr">
        <is>
          <t>conservador</t>
        </is>
      </c>
      <c r="C9">
        <f>Supuestos!$D$12*Supuestos!$D$13</f>
        <v/>
      </c>
      <c r="D9">
        <f>ROUNDUP(1000/C9,0)</f>
        <v/>
      </c>
      <c r="E9">
        <f>ROUNDUP(5000/C9,0)</f>
        <v/>
      </c>
      <c r="F9">
        <f>ROUNDUP(10000/C9,0)</f>
        <v/>
      </c>
    </row>
    <row r="10">
      <c r="A10" t="inlineStr">
        <is>
          <t>D (patrocinadas)</t>
        </is>
      </c>
      <c r="B10" t="inlineStr">
        <is>
          <t>base</t>
        </is>
      </c>
      <c r="C10">
        <f>Supuestos!$E$12*Supuestos!$E$13</f>
        <v/>
      </c>
      <c r="D10">
        <f>ROUNDUP(1000/C10,0)</f>
        <v/>
      </c>
      <c r="E10">
        <f>ROUNDUP(5000/C10,0)</f>
        <v/>
      </c>
      <c r="F10">
        <f>ROUNDUP(10000/C10,0)</f>
        <v/>
      </c>
    </row>
    <row r="11">
      <c r="A11" t="inlineStr">
        <is>
          <t>D (patrocinadas)</t>
        </is>
      </c>
      <c r="B11" t="inlineStr">
        <is>
          <t>optimista</t>
        </is>
      </c>
      <c r="C11">
        <f>Supuestos!$F$12*Supuestos!$F$13</f>
        <v/>
      </c>
      <c r="D11">
        <f>ROUNDUP(1000/C11,0)</f>
        <v/>
      </c>
      <c r="E11">
        <f>ROUNDUP(5000/C11,0)</f>
        <v/>
      </c>
      <c r="F11">
        <f>ROUNDUP(10000/C11,0)</f>
        <v/>
      </c>
    </row>
    <row r="12">
      <c r="A12" t="inlineStr">
        <is>
          <t>E (universidad)</t>
        </is>
      </c>
      <c r="B12" t="inlineStr">
        <is>
          <t>conservador</t>
        </is>
      </c>
      <c r="C12">
        <f>Supuestos!$D$14/12</f>
        <v/>
      </c>
      <c r="D12">
        <f>ROUNDUP(1000/C12,0)</f>
        <v/>
      </c>
      <c r="E12">
        <f>ROUNDUP(5000/C12,0)</f>
        <v/>
      </c>
      <c r="F12">
        <f>ROUNDUP(10000/C12,0)</f>
        <v/>
      </c>
    </row>
    <row r="13">
      <c r="A13" t="inlineStr">
        <is>
          <t>E (universidad)</t>
        </is>
      </c>
      <c r="B13" t="inlineStr">
        <is>
          <t>base</t>
        </is>
      </c>
      <c r="C13">
        <f>Supuestos!$E$14/12</f>
        <v/>
      </c>
      <c r="D13">
        <f>ROUNDUP(1000/C13,0)</f>
        <v/>
      </c>
      <c r="E13">
        <f>ROUNDUP(5000/C13,0)</f>
        <v/>
      </c>
      <c r="F13">
        <f>ROUNDUP(10000/C13,0)</f>
        <v/>
      </c>
    </row>
    <row r="14">
      <c r="A14" t="inlineStr">
        <is>
          <t>E (universidad)</t>
        </is>
      </c>
      <c r="B14" t="inlineStr">
        <is>
          <t>optimista</t>
        </is>
      </c>
      <c r="C14">
        <f>Supuestos!$F$14/12</f>
        <v/>
      </c>
      <c r="D14">
        <f>ROUNDUP(1000/C14,0)</f>
        <v/>
      </c>
      <c r="E14">
        <f>ROUNDUP(5000/C14,0)</f>
        <v/>
      </c>
      <c r="F14">
        <f>ROUNDUP(10000/C14,0)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Cuenta de resultados anual (autónomo persona física; simplificada, no es asesoramiento fiscal)</t>
        </is>
      </c>
    </row>
    <row r="2">
      <c r="A2" s="1" t="inlineStr">
        <is>
          <t>concepto</t>
        </is>
      </c>
      <c r="B2" s="1" t="inlineStr">
        <is>
          <t>conservador</t>
        </is>
      </c>
      <c r="C2" s="1" t="inlineStr">
        <is>
          <t>base</t>
        </is>
      </c>
      <c r="D2" s="1" t="inlineStr">
        <is>
          <t>optimista</t>
        </is>
      </c>
    </row>
    <row r="3">
      <c r="A3" t="inlineStr">
        <is>
          <t>Facturación B (publicación)</t>
        </is>
      </c>
      <c r="B3">
        <f>12*Supuestos!$D$8*Supuestos!$D$9*Supuestos!$D$23</f>
        <v/>
      </c>
      <c r="C3">
        <f>12*Supuestos!$E$8*Supuestos!$E$9*Supuestos!$E$23</f>
        <v/>
      </c>
      <c r="D3">
        <f>12*Supuestos!$F$8*Supuestos!$F$9*Supuestos!$F$23</f>
        <v/>
      </c>
    </row>
    <row r="4">
      <c r="A4" t="inlineStr">
        <is>
          <t>Facturación D (patrocinadas)</t>
        </is>
      </c>
      <c r="B4">
        <f>12*Supuestos!$D$12*Supuestos!$D$13*Supuestos!$D$24</f>
        <v/>
      </c>
      <c r="C4">
        <f>12*Supuestos!$E$12*Supuestos!$E$13*Supuestos!$E$24</f>
        <v/>
      </c>
      <c r="D4">
        <f>12*Supuestos!$F$12*Supuestos!$F$13*Supuestos!$F$24</f>
        <v/>
      </c>
    </row>
    <row r="5">
      <c r="A5" t="inlineStr">
        <is>
          <t>Facturación C (colocación)</t>
        </is>
      </c>
      <c r="B5">
        <f>Supuestos!$D$10*Supuestos!$D$11*Supuestos!$D$25</f>
        <v/>
      </c>
      <c r="C5">
        <f>Supuestos!$E$10*Supuestos!$E$11*Supuestos!$E$25</f>
        <v/>
      </c>
      <c r="D5">
        <f>Supuestos!$F$10*Supuestos!$F$11*Supuestos!$F$25</f>
        <v/>
      </c>
    </row>
    <row r="6">
      <c r="A6" t="inlineStr">
        <is>
          <t>Facturación E (universidades)</t>
        </is>
      </c>
      <c r="B6">
        <f>Supuestos!$D$14*Supuestos!$D$26</f>
        <v/>
      </c>
      <c r="C6">
        <f>Supuestos!$E$14*Supuestos!$E$26</f>
        <v/>
      </c>
      <c r="D6">
        <f>Supuestos!$F$14*Supuestos!$F$26</f>
        <v/>
      </c>
    </row>
    <row r="7">
      <c r="A7" t="inlineStr">
        <is>
          <t>Facturación A (estudiantes)</t>
        </is>
      </c>
      <c r="B7">
        <f>Supuestos!$D$27*Supuestos!$D$2*Supuestos!$D$3*Supuestos!$D$4*Supuestos!$D$5</f>
        <v/>
      </c>
      <c r="C7">
        <f>Supuestos!$E$27*Supuestos!$E$2*Supuestos!$E$3*Supuestos!$E$4*Supuestos!$E$5</f>
        <v/>
      </c>
      <c r="D7">
        <f>Supuestos!$F$27*Supuestos!$F$2*Supuestos!$F$3*Supuestos!$F$4*Supuestos!$F$5</f>
        <v/>
      </c>
    </row>
    <row r="8">
      <c r="A8" t="inlineStr">
        <is>
          <t>FACTURACIÓN TOTAL</t>
        </is>
      </c>
      <c r="B8">
        <f>SUM(B3:B7)</f>
        <v/>
      </c>
      <c r="C8">
        <f>SUM(C3:C7)</f>
        <v/>
      </c>
      <c r="D8">
        <f>SUM(D3:D7)</f>
        <v/>
      </c>
    </row>
    <row r="9">
      <c r="A9" t="inlineStr">
        <is>
          <t>Herramientas</t>
        </is>
      </c>
      <c r="B9">
        <f>12*Supuestos!$D$15</f>
        <v/>
      </c>
      <c r="C9">
        <f>12*Supuestos!$E$15</f>
        <v/>
      </c>
      <c r="D9">
        <f>12*Supuestos!$F$15</f>
        <v/>
      </c>
    </row>
    <row r="10">
      <c r="A10" t="inlineStr">
        <is>
          <t>Gestoría</t>
        </is>
      </c>
      <c r="B10">
        <f>12*Supuestos!$D$16</f>
        <v/>
      </c>
      <c r="C10">
        <f>12*Supuestos!$E$16</f>
        <v/>
      </c>
      <c r="D10">
        <f>12*Supuestos!$F$16</f>
        <v/>
      </c>
    </row>
    <row r="11">
      <c r="A11" t="inlineStr">
        <is>
          <t>Cuota de autónomos</t>
        </is>
      </c>
      <c r="B11">
        <f>12*Supuestos!$D$17</f>
        <v/>
      </c>
      <c r="C11">
        <f>12*Supuestos!$E$17</f>
        <v/>
      </c>
      <c r="D11">
        <f>12*Supuestos!$F$17</f>
        <v/>
      </c>
    </row>
    <row r="12">
      <c r="A12" t="inlineStr">
        <is>
          <t>Publicidad</t>
        </is>
      </c>
      <c r="B12">
        <f>12*Supuestos!$D$18</f>
        <v/>
      </c>
      <c r="C12">
        <f>12*Supuestos!$E$18</f>
        <v/>
      </c>
      <c r="D12">
        <f>12*Supuestos!$F$18</f>
        <v/>
      </c>
    </row>
    <row r="13">
      <c r="A13" t="inlineStr">
        <is>
          <t>Comisiones de pago</t>
        </is>
      </c>
      <c r="B13">
        <f>B8*Supuestos!$D$19</f>
        <v/>
      </c>
      <c r="C13">
        <f>C8*Supuestos!$E$19</f>
        <v/>
      </c>
      <c r="D13">
        <f>D8*Supuestos!$F$19</f>
        <v/>
      </c>
    </row>
    <row r="14">
      <c r="A14" t="inlineStr">
        <is>
          <t>GASTOS TOTALES</t>
        </is>
      </c>
      <c r="B14">
        <f>SUM(B9:B13)</f>
        <v/>
      </c>
      <c r="C14">
        <f>SUM(C9:C13)</f>
        <v/>
      </c>
      <c r="D14">
        <f>SUM(D9:D13)</f>
        <v/>
      </c>
    </row>
    <row r="15">
      <c r="A15" t="inlineStr">
        <is>
          <t>BENEFICIO ANTES DE IMPUESTOS</t>
        </is>
      </c>
      <c r="B15">
        <f>B8-B14</f>
        <v/>
      </c>
      <c r="C15">
        <f>C8-C14</f>
        <v/>
      </c>
      <c r="D15">
        <f>D8-D14</f>
        <v/>
      </c>
    </row>
    <row r="16">
      <c r="A16" t="inlineStr">
        <is>
          <t>IRPF estimado</t>
        </is>
      </c>
      <c r="B16">
        <f>MAX(B15,0)*Supuestos!$D$22</f>
        <v/>
      </c>
      <c r="C16">
        <f>MAX(C15,0)*Supuestos!$E$22</f>
        <v/>
      </c>
      <c r="D16">
        <f>MAX(D15,0)*Supuestos!$F$22</f>
        <v/>
      </c>
    </row>
    <row r="17">
      <c r="A17" t="inlineStr">
        <is>
          <t>BENEFICIO NETO</t>
        </is>
      </c>
      <c r="B17">
        <f>B15-B16</f>
        <v/>
      </c>
      <c r="C17">
        <f>C15-C16</f>
        <v/>
      </c>
      <c r="D17">
        <f>D15-D16</f>
        <v/>
      </c>
    </row>
    <row r="18">
      <c r="A18" t="inlineStr">
        <is>
          <t>SUELDO DEL FUNDADOR (autónomo = beneficio neto, si es &gt;0)</t>
        </is>
      </c>
      <c r="B18">
        <f>MAX(B17,0)</f>
        <v/>
      </c>
      <c r="C18">
        <f>MAX(C17,0)</f>
        <v/>
      </c>
      <c r="D18">
        <f>MAX(D17,0)</f>
        <v/>
      </c>
    </row>
    <row r="19">
      <c r="A19" t="inlineStr">
        <is>
          <t>Horas del fundador al año</t>
        </is>
      </c>
      <c r="B19">
        <f>12*(Supuestos!$D$20+Supuestos!$D$21)</f>
        <v/>
      </c>
      <c r="C19">
        <f>12*(Supuestos!$E$20+Supuestos!$E$21)</f>
        <v/>
      </c>
      <c r="D19">
        <f>12*(Supuestos!$F$20+Supuestos!$F$21)</f>
        <v/>
      </c>
    </row>
    <row r="20">
      <c r="A20" t="inlineStr">
        <is>
          <t>€/hora implícito del fundador</t>
        </is>
      </c>
      <c r="B20">
        <f>B17/B19</f>
        <v/>
      </c>
      <c r="C20">
        <f>C17/C19</f>
        <v/>
      </c>
      <c r="D20">
        <f>D17/D19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2026-10-11T13:28:38Z</dcterms:created>
  <dcterms:modified xmlns:dcterms="http://purl.org/dc/terms/" xmlns:xsi="http://www.w3.org/2001/XMLSchema-instance" xsi:type="dcterms:W3CDTF">2026-10-11T13:28:38Z</dcterms:modified>
</cp:coreProperties>
</file>